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Lookup" sheetId="3" state="visible" r:id="rId3"/>
    <sheet name="Cle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Region</t>
        </is>
      </c>
      <c r="B1" s="1" t="inlineStr">
        <is>
          <t>Cutting</t>
        </is>
      </c>
      <c r="C1" s="1" t="inlineStr">
        <is>
          <t>Prep</t>
        </is>
      </c>
      <c r="D1" s="1" t="inlineStr">
        <is>
          <t>Total</t>
        </is>
      </c>
    </row>
    <row r="2">
      <c r="A2" t="inlineStr">
        <is>
          <t>North</t>
        </is>
      </c>
      <c r="B2" s="2">
        <f>SUMIFS(Clean!$G$2:$G$13,Clean!$C$2:$C$13,$A2,Clean!$E$2:$E$13,"Cutting",Clean!$H$2:$H$13,"")</f>
        <v/>
      </c>
      <c r="C2" s="2">
        <f>SUMIFS(Clean!$G$2:$G$13,Clean!$C$2:$C$13,$A2,Clean!$E$2:$E$13,"Prep",Clean!$H$2:$H$13,"")</f>
        <v/>
      </c>
      <c r="D2" s="2">
        <f>SUM(B2:C2)</f>
        <v/>
      </c>
    </row>
    <row r="3">
      <c r="A3" t="inlineStr">
        <is>
          <t>South</t>
        </is>
      </c>
      <c r="B3" s="2">
        <f>SUMIFS(Clean!$G$2:$G$13,Clean!$C$2:$C$13,$A3,Clean!$E$2:$E$13,"Cutting",Clean!$H$2:$H$13,"")</f>
        <v/>
      </c>
      <c r="C3" s="2">
        <f>SUMIFS(Clean!$G$2:$G$13,Clean!$C$2:$C$13,$A3,Clean!$E$2:$E$13,"Prep",Clean!$H$2:$H$13,"")</f>
        <v/>
      </c>
      <c r="D3" s="2">
        <f>SUM(B3:C3)</f>
        <v/>
      </c>
    </row>
    <row r="4">
      <c r="A4" t="inlineStr">
        <is>
          <t>East</t>
        </is>
      </c>
      <c r="B4" s="2">
        <f>SUMIFS(Clean!$G$2:$G$13,Clean!$C$2:$C$13,$A4,Clean!$E$2:$E$13,"Cutting",Clean!$H$2:$H$13,"")</f>
        <v/>
      </c>
      <c r="C4" s="2">
        <f>SUMIFS(Clean!$G$2:$G$13,Clean!$C$2:$C$13,$A4,Clean!$E$2:$E$13,"Prep",Clean!$H$2:$H$13,"")</f>
        <v/>
      </c>
      <c r="D4" s="2">
        <f>SUM(B4:C4)</f>
        <v/>
      </c>
    </row>
    <row r="5">
      <c r="A5" t="inlineStr">
        <is>
          <t>West</t>
        </is>
      </c>
      <c r="B5" s="2">
        <f>SUMIFS(Clean!$G$2:$G$13,Clean!$C$2:$C$13,$A5,Clean!$E$2:$E$13,"Cutting",Clean!$H$2:$H$13,"")</f>
        <v/>
      </c>
      <c r="C5" s="2">
        <f>SUMIFS(Clean!$G$2:$G$13,Clean!$C$2:$C$13,$A5,Clean!$E$2:$E$13,"Prep",Clean!$H$2:$H$13,"")</f>
        <v/>
      </c>
      <c r="D5" s="2">
        <f>SUM(B5:C5)</f>
        <v/>
      </c>
    </row>
    <row r="6">
      <c r="A6" s="3" t="inlineStr">
        <is>
          <t>Total</t>
        </is>
      </c>
      <c r="B6" s="4">
        <f>SUM(B2:B5)</f>
        <v/>
      </c>
      <c r="C6" s="4">
        <f>SUM(C2:C5)</f>
        <v/>
      </c>
      <c r="D6" s="4">
        <f>SUM(D2:D5)</f>
        <v/>
      </c>
    </row>
    <row r="8">
      <c r="A8" t="inlineStr">
        <is>
          <t>Rows in export</t>
        </is>
      </c>
      <c r="B8">
        <f>COUNTA(Raw!A2:A13)</f>
        <v/>
      </c>
    </row>
    <row r="9">
      <c r="A9" t="inlineStr">
        <is>
          <t>Duplicate rows excluded</t>
        </is>
      </c>
      <c r="B9">
        <f>COUNTIF(Clean!H2:H13,"DUPLICATE")</f>
        <v/>
      </c>
    </row>
    <row r="10">
      <c r="A10" t="inlineStr">
        <is>
          <t>Unmapped rows excluded</t>
        </is>
      </c>
      <c r="B10">
        <f>COUNTIFS(Clean!E2:E13,"UNMAPPED",Clean!H2:H13,"")</f>
        <v/>
      </c>
    </row>
    <row r="11">
      <c r="A11" t="inlineStr">
        <is>
          <t>Duplicate amount</t>
        </is>
      </c>
      <c r="B11" s="2">
        <f>SUMIFS(Clean!G2:G13,Clean!H2:H13,"DUPLICATE")</f>
        <v/>
      </c>
    </row>
    <row r="12">
      <c r="A12" t="inlineStr">
        <is>
          <t>Unmapped amount</t>
        </is>
      </c>
      <c r="B12" s="2">
        <f>SUMIFS(Clean!G2:G13,Clean!E2:E13,"UNMAPPED",Clean!H2:H13,"")</f>
        <v/>
      </c>
    </row>
    <row r="13">
      <c r="A13" t="inlineStr">
        <is>
          <t>Reconciliation</t>
        </is>
      </c>
      <c r="B13">
        <f>IF(ABS(SUMPRODUCT(Raw!E2:E13,Raw!F2:F13)-D6-B11-B12)&lt;0.005,"OK","CHECK")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6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Qty</t>
        </is>
      </c>
      <c r="F1" s="1" t="inlineStr">
        <is>
          <t>Unit price</t>
        </is>
      </c>
    </row>
    <row r="2">
      <c r="A2" s="5" t="n">
        <v>46266</v>
      </c>
      <c r="B2" t="inlineStr">
        <is>
          <t xml:space="preserve">  acme hardware</t>
        </is>
      </c>
      <c r="C2" t="inlineStr">
        <is>
          <t>North</t>
        </is>
      </c>
      <c r="D2" t="inlineStr">
        <is>
          <t>Slicer Pro</t>
        </is>
      </c>
      <c r="E2" t="n">
        <v>12</v>
      </c>
      <c r="F2" t="n">
        <v>14.5</v>
      </c>
    </row>
    <row r="3">
      <c r="A3" s="5" t="n">
        <v>46266</v>
      </c>
      <c r="B3" t="inlineStr">
        <is>
          <t xml:space="preserve">Blue Oak Kitchen </t>
        </is>
      </c>
      <c r="C3" t="inlineStr">
        <is>
          <t>South</t>
        </is>
      </c>
      <c r="D3" t="inlineStr">
        <is>
          <t>Peeler</t>
        </is>
      </c>
      <c r="E3" t="n">
        <v>30</v>
      </c>
      <c r="F3" t="n">
        <v>3.25</v>
      </c>
    </row>
    <row r="4">
      <c r="A4" s="5" t="n">
        <v>46268</v>
      </c>
      <c r="B4" t="inlineStr">
        <is>
          <t>ACME HARDWARE</t>
        </is>
      </c>
      <c r="C4" t="inlineStr">
        <is>
          <t>North</t>
        </is>
      </c>
      <c r="D4" t="inlineStr">
        <is>
          <t>Peeler</t>
        </is>
      </c>
      <c r="E4" t="n">
        <v>20</v>
      </c>
      <c r="F4" t="n">
        <v>3.25</v>
      </c>
    </row>
    <row r="5">
      <c r="A5" s="5" t="n">
        <v>46269</v>
      </c>
      <c r="B5" t="inlineStr">
        <is>
          <t>corner cook shop</t>
        </is>
      </c>
      <c r="C5" t="inlineStr">
        <is>
          <t>West</t>
        </is>
      </c>
      <c r="D5" t="inlineStr">
        <is>
          <t>Slicer Pro</t>
        </is>
      </c>
      <c r="E5" t="n">
        <v>6</v>
      </c>
      <c r="F5" t="n">
        <v>14.5</v>
      </c>
    </row>
    <row r="6">
      <c r="A6" s="5" t="n">
        <v>46269</v>
      </c>
      <c r="B6" t="inlineStr">
        <is>
          <t>corner cook shop</t>
        </is>
      </c>
      <c r="C6" t="inlineStr">
        <is>
          <t>West</t>
        </is>
      </c>
      <c r="D6" t="inlineStr">
        <is>
          <t>Slicer Pro</t>
        </is>
      </c>
      <c r="E6" t="n">
        <v>6</v>
      </c>
      <c r="F6" t="n">
        <v>14.5</v>
      </c>
    </row>
    <row r="7">
      <c r="A7" s="5" t="n">
        <v>46273</v>
      </c>
      <c r="B7" t="inlineStr">
        <is>
          <t>Blue Oak kitchen</t>
        </is>
      </c>
      <c r="C7" t="inlineStr">
        <is>
          <t>South</t>
        </is>
      </c>
      <c r="D7" t="inlineStr">
        <is>
          <t>Grater Mini</t>
        </is>
      </c>
      <c r="E7" t="n">
        <v>18</v>
      </c>
      <c r="F7" t="n">
        <v>5.75</v>
      </c>
    </row>
    <row r="8">
      <c r="A8" s="5" t="n">
        <v>46274</v>
      </c>
      <c r="B8" t="inlineStr">
        <is>
          <t>Harbor Home</t>
        </is>
      </c>
      <c r="C8" t="inlineStr">
        <is>
          <t>East</t>
        </is>
      </c>
      <c r="D8" t="inlineStr">
        <is>
          <t>Slicer Pro</t>
        </is>
      </c>
      <c r="E8" t="n">
        <v>10</v>
      </c>
      <c r="F8" t="n">
        <v>14.5</v>
      </c>
    </row>
    <row r="9">
      <c r="A9" s="5" t="n">
        <v>46277</v>
      </c>
      <c r="B9" t="inlineStr">
        <is>
          <t>harbor home</t>
        </is>
      </c>
      <c r="C9" t="inlineStr">
        <is>
          <t>East</t>
        </is>
      </c>
      <c r="D9" t="inlineStr">
        <is>
          <t>Herb Scissors</t>
        </is>
      </c>
      <c r="E9" t="n">
        <v>15</v>
      </c>
      <c r="F9" t="n">
        <v>7</v>
      </c>
    </row>
    <row r="10">
      <c r="A10" s="5" t="n">
        <v>46280</v>
      </c>
      <c r="B10" t="inlineStr">
        <is>
          <t>Acme Hardware</t>
        </is>
      </c>
      <c r="C10" t="inlineStr">
        <is>
          <t>North</t>
        </is>
      </c>
      <c r="D10" t="inlineStr">
        <is>
          <t>Grater Mini</t>
        </is>
      </c>
      <c r="E10" t="n">
        <v>24</v>
      </c>
      <c r="F10" t="n">
        <v>5.75</v>
      </c>
    </row>
    <row r="11">
      <c r="A11" s="5" t="n">
        <v>46283</v>
      </c>
      <c r="B11" t="inlineStr">
        <is>
          <t>Pine &amp; Co</t>
        </is>
      </c>
      <c r="C11" t="inlineStr">
        <is>
          <t>West</t>
        </is>
      </c>
      <c r="D11" t="inlineStr">
        <is>
          <t>Peeler</t>
        </is>
      </c>
      <c r="E11" t="n">
        <v>40</v>
      </c>
      <c r="F11" t="n">
        <v>3.25</v>
      </c>
    </row>
    <row r="12">
      <c r="A12" s="5" t="n">
        <v>46287</v>
      </c>
      <c r="B12" t="inlineStr">
        <is>
          <t>pine &amp; co</t>
        </is>
      </c>
      <c r="C12" t="inlineStr">
        <is>
          <t>West</t>
        </is>
      </c>
      <c r="D12" t="inlineStr">
        <is>
          <t>Slicer Pro</t>
        </is>
      </c>
      <c r="E12" t="n">
        <v>8</v>
      </c>
      <c r="F12" t="n">
        <v>14.5</v>
      </c>
    </row>
    <row r="13">
      <c r="A13" s="5" t="n">
        <v>46290</v>
      </c>
      <c r="B13" t="inlineStr">
        <is>
          <t>Corner Cook Shop</t>
        </is>
      </c>
      <c r="C13" t="inlineStr">
        <is>
          <t>West</t>
        </is>
      </c>
      <c r="D13" t="inlineStr">
        <is>
          <t>Grater Mini</t>
        </is>
      </c>
      <c r="E13" t="n">
        <v>12</v>
      </c>
      <c r="F13" t="n">
        <v>5.75</v>
      </c>
    </row>
  </sheetData>
  <dataValidations count="1">
    <dataValidation sqref="C2:C213" showDropDown="0" showInputMessage="0" showErrorMessage="0" allowBlank="0" type="list">
      <formula1>"North,South,East,West"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Product</t>
        </is>
      </c>
      <c r="B1" s="1" t="inlineStr">
        <is>
          <t>Category</t>
        </is>
      </c>
    </row>
    <row r="2">
      <c r="A2" t="inlineStr">
        <is>
          <t>Slicer Pro</t>
        </is>
      </c>
      <c r="B2" t="inlineStr">
        <is>
          <t>Cutting</t>
        </is>
      </c>
    </row>
    <row r="3">
      <c r="A3" t="inlineStr">
        <is>
          <t>Peeler</t>
        </is>
      </c>
      <c r="B3" t="inlineStr">
        <is>
          <t>Prep</t>
        </is>
      </c>
    </row>
    <row r="4">
      <c r="A4" t="inlineStr">
        <is>
          <t>Grater Mini</t>
        </is>
      </c>
      <c r="B4" t="inlineStr">
        <is>
          <t>Prep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6" customWidth="1" min="4" max="4"/>
    <col width="11" customWidth="1" min="5" max="5"/>
    <col width="6" customWidth="1" min="6" max="6"/>
    <col width="11" customWidth="1" min="7" max="7"/>
    <col width="12" customWidth="1" min="8" max="8"/>
    <col width="22" customWidth="1" min="9" max="9"/>
  </cols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Qty</t>
        </is>
      </c>
      <c r="G1" s="1" t="inlineStr">
        <is>
          <t>Amount</t>
        </is>
      </c>
      <c r="H1" s="1" t="inlineStr">
        <is>
          <t>Duplicate</t>
        </is>
      </c>
      <c r="I1" s="1" t="inlineStr">
        <is>
          <t>Issue</t>
        </is>
      </c>
    </row>
    <row r="2">
      <c r="A2" s="5">
        <f>Raw!A2</f>
        <v/>
      </c>
      <c r="B2">
        <f>PROPER(TRIM(Raw!B2))</f>
        <v/>
      </c>
      <c r="C2">
        <f>Raw!C2</f>
        <v/>
      </c>
      <c r="D2">
        <f>Raw!D2</f>
        <v/>
      </c>
      <c r="E2">
        <f>IFERROR(INDEX(Lookup!$B$2:$B$4,MATCH(D2,Lookup!$A$2:$A$4,0)),"UNMAPPED")</f>
        <v/>
      </c>
      <c r="F2">
        <f>Raw!E2</f>
        <v/>
      </c>
      <c r="G2" s="2">
        <f>Raw!E2*Raw!F2</f>
        <v/>
      </c>
      <c r="H2">
        <f>IF(COUNTIFS($A$2:A2,A2,$B$2:B2,B2,$D$2:D2,D2,$F$2:F2,F2)&gt;1,"DUPLICATE","")</f>
        <v/>
      </c>
      <c r="I2">
        <f>IF(H2&lt;&gt;"","duplicate row",IF(E2="UNMAPPED","product not in Lookup",""))</f>
        <v/>
      </c>
    </row>
    <row r="3">
      <c r="A3" s="5">
        <f>Raw!A3</f>
        <v/>
      </c>
      <c r="B3">
        <f>PROPER(TRIM(Raw!B3))</f>
        <v/>
      </c>
      <c r="C3">
        <f>Raw!C3</f>
        <v/>
      </c>
      <c r="D3">
        <f>Raw!D3</f>
        <v/>
      </c>
      <c r="E3">
        <f>IFERROR(INDEX(Lookup!$B$2:$B$4,MATCH(D3,Lookup!$A$2:$A$4,0)),"UNMAPPED")</f>
        <v/>
      </c>
      <c r="F3">
        <f>Raw!E3</f>
        <v/>
      </c>
      <c r="G3" s="2">
        <f>Raw!E3*Raw!F3</f>
        <v/>
      </c>
      <c r="H3">
        <f>IF(COUNTIFS($A$2:A3,A3,$B$2:B3,B3,$D$2:D3,D3,$F$2:F3,F3)&gt;1,"DUPLICATE","")</f>
        <v/>
      </c>
      <c r="I3">
        <f>IF(H3&lt;&gt;"","duplicate row",IF(E3="UNMAPPED","product not in Lookup",""))</f>
        <v/>
      </c>
    </row>
    <row r="4">
      <c r="A4" s="5">
        <f>Raw!A4</f>
        <v/>
      </c>
      <c r="B4">
        <f>PROPER(TRIM(Raw!B4))</f>
        <v/>
      </c>
      <c r="C4">
        <f>Raw!C4</f>
        <v/>
      </c>
      <c r="D4">
        <f>Raw!D4</f>
        <v/>
      </c>
      <c r="E4">
        <f>IFERROR(INDEX(Lookup!$B$2:$B$4,MATCH(D4,Lookup!$A$2:$A$4,0)),"UNMAPPED")</f>
        <v/>
      </c>
      <c r="F4">
        <f>Raw!E4</f>
        <v/>
      </c>
      <c r="G4" s="2">
        <f>Raw!E4*Raw!F4</f>
        <v/>
      </c>
      <c r="H4">
        <f>IF(COUNTIFS($A$2:A4,A4,$B$2:B4,B4,$D$2:D4,D4,$F$2:F4,F4)&gt;1,"DUPLICATE","")</f>
        <v/>
      </c>
      <c r="I4">
        <f>IF(H4&lt;&gt;"","duplicate row",IF(E4="UNMAPPED","product not in Lookup",""))</f>
        <v/>
      </c>
    </row>
    <row r="5">
      <c r="A5" s="5">
        <f>Raw!A5</f>
        <v/>
      </c>
      <c r="B5">
        <f>PROPER(TRIM(Raw!B5))</f>
        <v/>
      </c>
      <c r="C5">
        <f>Raw!C5</f>
        <v/>
      </c>
      <c r="D5">
        <f>Raw!D5</f>
        <v/>
      </c>
      <c r="E5">
        <f>IFERROR(INDEX(Lookup!$B$2:$B$4,MATCH(D5,Lookup!$A$2:$A$4,0)),"UNMAPPED")</f>
        <v/>
      </c>
      <c r="F5">
        <f>Raw!E5</f>
        <v/>
      </c>
      <c r="G5" s="2">
        <f>Raw!E5*Raw!F5</f>
        <v/>
      </c>
      <c r="H5">
        <f>IF(COUNTIFS($A$2:A5,A5,$B$2:B5,B5,$D$2:D5,D5,$F$2:F5,F5)&gt;1,"DUPLICATE","")</f>
        <v/>
      </c>
      <c r="I5">
        <f>IF(H5&lt;&gt;"","duplicate row",IF(E5="UNMAPPED","product not in Lookup",""))</f>
        <v/>
      </c>
    </row>
    <row r="6">
      <c r="A6" s="5">
        <f>Raw!A6</f>
        <v/>
      </c>
      <c r="B6">
        <f>PROPER(TRIM(Raw!B6))</f>
        <v/>
      </c>
      <c r="C6">
        <f>Raw!C6</f>
        <v/>
      </c>
      <c r="D6">
        <f>Raw!D6</f>
        <v/>
      </c>
      <c r="E6">
        <f>IFERROR(INDEX(Lookup!$B$2:$B$4,MATCH(D6,Lookup!$A$2:$A$4,0)),"UNMAPPED")</f>
        <v/>
      </c>
      <c r="F6">
        <f>Raw!E6</f>
        <v/>
      </c>
      <c r="G6" s="2">
        <f>Raw!E6*Raw!F6</f>
        <v/>
      </c>
      <c r="H6">
        <f>IF(COUNTIFS($A$2:A6,A6,$B$2:B6,B6,$D$2:D6,D6,$F$2:F6,F6)&gt;1,"DUPLICATE","")</f>
        <v/>
      </c>
      <c r="I6">
        <f>IF(H6&lt;&gt;"","duplicate row",IF(E6="UNMAPPED","product not in Lookup",""))</f>
        <v/>
      </c>
    </row>
    <row r="7">
      <c r="A7" s="5">
        <f>Raw!A7</f>
        <v/>
      </c>
      <c r="B7">
        <f>PROPER(TRIM(Raw!B7))</f>
        <v/>
      </c>
      <c r="C7">
        <f>Raw!C7</f>
        <v/>
      </c>
      <c r="D7">
        <f>Raw!D7</f>
        <v/>
      </c>
      <c r="E7">
        <f>IFERROR(INDEX(Lookup!$B$2:$B$4,MATCH(D7,Lookup!$A$2:$A$4,0)),"UNMAPPED")</f>
        <v/>
      </c>
      <c r="F7">
        <f>Raw!E7</f>
        <v/>
      </c>
      <c r="G7" s="2">
        <f>Raw!E7*Raw!F7</f>
        <v/>
      </c>
      <c r="H7">
        <f>IF(COUNTIFS($A$2:A7,A7,$B$2:B7,B7,$D$2:D7,D7,$F$2:F7,F7)&gt;1,"DUPLICATE","")</f>
        <v/>
      </c>
      <c r="I7">
        <f>IF(H7&lt;&gt;"","duplicate row",IF(E7="UNMAPPED","product not in Lookup",""))</f>
        <v/>
      </c>
    </row>
    <row r="8">
      <c r="A8" s="5">
        <f>Raw!A8</f>
        <v/>
      </c>
      <c r="B8">
        <f>PROPER(TRIM(Raw!B8))</f>
        <v/>
      </c>
      <c r="C8">
        <f>Raw!C8</f>
        <v/>
      </c>
      <c r="D8">
        <f>Raw!D8</f>
        <v/>
      </c>
      <c r="E8">
        <f>IFERROR(INDEX(Lookup!$B$2:$B$4,MATCH(D8,Lookup!$A$2:$A$4,0)),"UNMAPPED")</f>
        <v/>
      </c>
      <c r="F8">
        <f>Raw!E8</f>
        <v/>
      </c>
      <c r="G8" s="2">
        <f>Raw!E8*Raw!F8</f>
        <v/>
      </c>
      <c r="H8">
        <f>IF(COUNTIFS($A$2:A8,A8,$B$2:B8,B8,$D$2:D8,D8,$F$2:F8,F8)&gt;1,"DUPLICATE","")</f>
        <v/>
      </c>
      <c r="I8">
        <f>IF(H8&lt;&gt;"","duplicate row",IF(E8="UNMAPPED","product not in Lookup",""))</f>
        <v/>
      </c>
    </row>
    <row r="9">
      <c r="A9" s="5">
        <f>Raw!A9</f>
        <v/>
      </c>
      <c r="B9">
        <f>PROPER(TRIM(Raw!B9))</f>
        <v/>
      </c>
      <c r="C9">
        <f>Raw!C9</f>
        <v/>
      </c>
      <c r="D9">
        <f>Raw!D9</f>
        <v/>
      </c>
      <c r="E9">
        <f>IFERROR(INDEX(Lookup!$B$2:$B$4,MATCH(D9,Lookup!$A$2:$A$4,0)),"UNMAPPED")</f>
        <v/>
      </c>
      <c r="F9">
        <f>Raw!E9</f>
        <v/>
      </c>
      <c r="G9" s="2">
        <f>Raw!E9*Raw!F9</f>
        <v/>
      </c>
      <c r="H9">
        <f>IF(COUNTIFS($A$2:A9,A9,$B$2:B9,B9,$D$2:D9,D9,$F$2:F9,F9)&gt;1,"DUPLICATE","")</f>
        <v/>
      </c>
      <c r="I9">
        <f>IF(H9&lt;&gt;"","duplicate row",IF(E9="UNMAPPED","product not in Lookup",""))</f>
        <v/>
      </c>
    </row>
    <row r="10">
      <c r="A10" s="5">
        <f>Raw!A10</f>
        <v/>
      </c>
      <c r="B10">
        <f>PROPER(TRIM(Raw!B10))</f>
        <v/>
      </c>
      <c r="C10">
        <f>Raw!C10</f>
        <v/>
      </c>
      <c r="D10">
        <f>Raw!D10</f>
        <v/>
      </c>
      <c r="E10">
        <f>IFERROR(INDEX(Lookup!$B$2:$B$4,MATCH(D10,Lookup!$A$2:$A$4,0)),"UNMAPPED")</f>
        <v/>
      </c>
      <c r="F10">
        <f>Raw!E10</f>
        <v/>
      </c>
      <c r="G10" s="2">
        <f>Raw!E10*Raw!F10</f>
        <v/>
      </c>
      <c r="H10">
        <f>IF(COUNTIFS($A$2:A10,A10,$B$2:B10,B10,$D$2:D10,D10,$F$2:F10,F10)&gt;1,"DUPLICATE","")</f>
        <v/>
      </c>
      <c r="I10">
        <f>IF(H10&lt;&gt;"","duplicate row",IF(E10="UNMAPPED","product not in Lookup",""))</f>
        <v/>
      </c>
    </row>
    <row r="11">
      <c r="A11" s="5">
        <f>Raw!A11</f>
        <v/>
      </c>
      <c r="B11">
        <f>PROPER(TRIM(Raw!B11))</f>
        <v/>
      </c>
      <c r="C11">
        <f>Raw!C11</f>
        <v/>
      </c>
      <c r="D11">
        <f>Raw!D11</f>
        <v/>
      </c>
      <c r="E11">
        <f>IFERROR(INDEX(Lookup!$B$2:$B$4,MATCH(D11,Lookup!$A$2:$A$4,0)),"UNMAPPED")</f>
        <v/>
      </c>
      <c r="F11">
        <f>Raw!E11</f>
        <v/>
      </c>
      <c r="G11" s="2">
        <f>Raw!E11*Raw!F11</f>
        <v/>
      </c>
      <c r="H11">
        <f>IF(COUNTIFS($A$2:A11,A11,$B$2:B11,B11,$D$2:D11,D11,$F$2:F11,F11)&gt;1,"DUPLICATE","")</f>
        <v/>
      </c>
      <c r="I11">
        <f>IF(H11&lt;&gt;"","duplicate row",IF(E11="UNMAPPED","product not in Lookup",""))</f>
        <v/>
      </c>
    </row>
    <row r="12">
      <c r="A12" s="5">
        <f>Raw!A12</f>
        <v/>
      </c>
      <c r="B12">
        <f>PROPER(TRIM(Raw!B12))</f>
        <v/>
      </c>
      <c r="C12">
        <f>Raw!C12</f>
        <v/>
      </c>
      <c r="D12">
        <f>Raw!D12</f>
        <v/>
      </c>
      <c r="E12">
        <f>IFERROR(INDEX(Lookup!$B$2:$B$4,MATCH(D12,Lookup!$A$2:$A$4,0)),"UNMAPPED")</f>
        <v/>
      </c>
      <c r="F12">
        <f>Raw!E12</f>
        <v/>
      </c>
      <c r="G12" s="2">
        <f>Raw!E12*Raw!F12</f>
        <v/>
      </c>
      <c r="H12">
        <f>IF(COUNTIFS($A$2:A12,A12,$B$2:B12,B12,$D$2:D12,D12,$F$2:F12,F12)&gt;1,"DUPLICATE","")</f>
        <v/>
      </c>
      <c r="I12">
        <f>IF(H12&lt;&gt;"","duplicate row",IF(E12="UNMAPPED","product not in Lookup",""))</f>
        <v/>
      </c>
    </row>
    <row r="13">
      <c r="A13" s="5">
        <f>Raw!A13</f>
        <v/>
      </c>
      <c r="B13">
        <f>PROPER(TRIM(Raw!B13))</f>
        <v/>
      </c>
      <c r="C13">
        <f>Raw!C13</f>
        <v/>
      </c>
      <c r="D13">
        <f>Raw!D13</f>
        <v/>
      </c>
      <c r="E13">
        <f>IFERROR(INDEX(Lookup!$B$2:$B$4,MATCH(D13,Lookup!$A$2:$A$4,0)),"UNMAPPED")</f>
        <v/>
      </c>
      <c r="F13">
        <f>Raw!E13</f>
        <v/>
      </c>
      <c r="G13" s="2">
        <f>Raw!E13*Raw!F13</f>
        <v/>
      </c>
      <c r="H13">
        <f>IF(COUNTIFS($A$2:A13,A13,$B$2:B13,B13,$D$2:D13,D13,$F$2:F13,F13)&gt;1,"DUPLICATE","")</f>
        <v/>
      </c>
      <c r="I13">
        <f>IF(H13&lt;&gt;"","duplicate row",IF(E13="UNMAPPED","product not in Lookup",""))</f>
        <v/>
      </c>
    </row>
  </sheetData>
  <conditionalFormatting sqref="A2:I13">
    <cfRule type="expression" priority="1" dxfId="0">
      <formula>$I2&lt;&gt;""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2026-10-02T23:27:45Z</dcterms:created>
  <dcterms:modified xsi:type="dcterms:W3CDTF">2026-10-02T23:27:45Z</dcterms:modified>
</cp:coreProperties>
</file>